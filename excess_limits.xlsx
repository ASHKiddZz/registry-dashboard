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6"/>
  <workbookPr/>
  <mc:AlternateContent xmlns:mc="http://schemas.openxmlformats.org/markup-compatibility/2006">
    <mc:Choice Requires="x15">
      <x15ac:absPath xmlns:x15ac="http://schemas.microsoft.com/office/spreadsheetml/2010/11/ac" url="C:\Users\Pratima\Desktop\SITE Registry\SITE\MAC\"/>
    </mc:Choice>
  </mc:AlternateContent>
  <xr:revisionPtr revIDLastSave="0" documentId="13_ncr:1_{DCDD4EA2-DC7D-4C5F-A3C1-7715138CBE6D}" xr6:coauthVersionLast="36" xr6:coauthVersionMax="36" xr10:uidLastSave="{00000000-0000-0000-0000-000000000000}"/>
  <bookViews>
    <workbookView xWindow="0" yWindow="0" windowWidth="20070" windowHeight="75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1" l="1"/>
  <c r="D39" i="1" l="1"/>
  <c r="E39" i="1" s="1"/>
  <c r="F39" i="1" s="1"/>
  <c r="C41" i="1"/>
  <c r="D40" i="1"/>
  <c r="E40" i="1" s="1"/>
  <c r="F40" i="1" s="1"/>
  <c r="F41" i="1" l="1"/>
  <c r="D41" i="1"/>
  <c r="E41" i="1" s="1"/>
</calcChain>
</file>

<file path=xl/sharedStrings.xml><?xml version="1.0" encoding="utf-8"?>
<sst xmlns="http://schemas.openxmlformats.org/spreadsheetml/2006/main" count="74" uniqueCount="39">
  <si>
    <t xml:space="preserve">Staff Category </t>
  </si>
  <si>
    <t>Normal Quantum (Number of Modules)</t>
  </si>
  <si>
    <t>Excess without satisfactory research performance</t>
  </si>
  <si>
    <t>Excess with sastisfactory research performance</t>
  </si>
  <si>
    <t>Head of School</t>
  </si>
  <si>
    <t xml:space="preserve">Head of Department </t>
  </si>
  <si>
    <t>Staff (Mphil/PhD)</t>
  </si>
  <si>
    <t>All Other Staff</t>
  </si>
  <si>
    <t>72 (2)</t>
  </si>
  <si>
    <t>144 (4)</t>
  </si>
  <si>
    <t>180 (5)</t>
  </si>
  <si>
    <t>216 (6)</t>
  </si>
  <si>
    <t>108 (3)</t>
  </si>
  <si>
    <t>252 (7)</t>
  </si>
  <si>
    <t>90 (2)</t>
  </si>
  <si>
    <t>180 (4)</t>
  </si>
  <si>
    <t>225 (5)</t>
  </si>
  <si>
    <t>270 (6)</t>
  </si>
  <si>
    <t>45 (1)</t>
  </si>
  <si>
    <t>135 (3)</t>
  </si>
  <si>
    <t>Number of Modules for Normal Quantum</t>
  </si>
  <si>
    <t>Total Number of Modules in Academic Year (A):</t>
  </si>
  <si>
    <t>Normal Quantum of Staff (B):</t>
  </si>
  <si>
    <t>Number of Weeks (D)</t>
  </si>
  <si>
    <t xml:space="preserve">Number of Modules (E) </t>
  </si>
  <si>
    <t>Pro Rata for Excess Quantum (G = E - F)</t>
  </si>
  <si>
    <t>Pro Rata for Normal Quantum (F = (E/A)×B)</t>
  </si>
  <si>
    <r>
      <t>Pro Rata Excess in Hours        (3</t>
    </r>
    <r>
      <rPr>
        <b/>
        <sz val="11"/>
        <color theme="1"/>
        <rFont val="Calibri"/>
        <family val="2"/>
      </rPr>
      <t>×</t>
    </r>
    <r>
      <rPr>
        <b/>
        <sz val="11"/>
        <color theme="1"/>
        <rFont val="Calibri"/>
        <family val="2"/>
        <scheme val="minor"/>
      </rPr>
      <t>G×D)</t>
    </r>
  </si>
  <si>
    <r>
      <t xml:space="preserve">Scenario One: </t>
    </r>
    <r>
      <rPr>
        <sz val="14"/>
        <color rgb="FFFFFF00"/>
        <rFont val="Calibri"/>
        <family val="2"/>
        <scheme val="minor"/>
      </rPr>
      <t>Staff is servicing only 12 weeks modules</t>
    </r>
  </si>
  <si>
    <r>
      <t xml:space="preserve">Scenario Two: </t>
    </r>
    <r>
      <rPr>
        <sz val="14"/>
        <color rgb="FF0070C0"/>
        <rFont val="Calibri"/>
        <family val="2"/>
        <scheme val="minor"/>
      </rPr>
      <t>Staff is servicing only 15 weeks modules</t>
    </r>
  </si>
  <si>
    <r>
      <t xml:space="preserve">Scenario Three: </t>
    </r>
    <r>
      <rPr>
        <sz val="14"/>
        <color rgb="FF002060"/>
        <rFont val="Calibri"/>
        <family val="2"/>
        <scheme val="minor"/>
      </rPr>
      <t>Staff is servicing both 12 and 15 weeks modules</t>
    </r>
  </si>
  <si>
    <t xml:space="preserve">Total ( E = A, F = B and G = C) </t>
  </si>
  <si>
    <t xml:space="preserve">Category </t>
  </si>
  <si>
    <t>First (To manually input for E)</t>
  </si>
  <si>
    <t>Second (To manually input for E)</t>
  </si>
  <si>
    <t>Excess Quantum of Staff (C):</t>
  </si>
  <si>
    <t xml:space="preserve">Note: In order to go forward on a pro rata basis, the normal and extra quantum will initially have a fixed amount of modules rather than hours. The pro-rata number of modules will then be translated into the corresponding hours. </t>
  </si>
  <si>
    <r>
      <t>Staff (</t>
    </r>
    <r>
      <rPr>
        <sz val="11"/>
        <color theme="1"/>
        <rFont val="Calibri"/>
        <family val="2"/>
      </rPr>
      <t>≥ 2 IF PY)</t>
    </r>
  </si>
  <si>
    <r>
      <t xml:space="preserve">Computation of Excess Hours </t>
    </r>
    <r>
      <rPr>
        <u/>
        <sz val="12"/>
        <color rgb="FFFF0000"/>
        <rFont val="Calibri"/>
        <family val="2"/>
        <scheme val="minor"/>
      </rPr>
      <t>(To manually input values for B and 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</si>
</sst>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1"/>
      <color theme="1"/>
      <name val="Calibri"/>
      <family val="2"/>
    </font>
    <font>
      <sz val="14"/>
      <color rgb="FFFFFF00"/>
      <name val="Calibri"/>
      <family val="2"/>
      <scheme val="minor"/>
    </font>
    <font>
      <sz val="14"/>
      <color rgb="FF0070C0"/>
      <name val="Calibri"/>
      <family val="2"/>
      <scheme val="minor"/>
    </font>
    <font>
      <sz val="14"/>
      <color rgb="FF002060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u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4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1" fillId="2" borderId="7" xfId="0" applyFont="1" applyFill="1" applyBorder="1"/>
    <xf numFmtId="0" fontId="1" fillId="2" borderId="8" xfId="0" applyFont="1" applyFill="1" applyBorder="1" applyAlignment="1">
      <alignment horizontal="center" wrapText="1"/>
    </xf>
    <xf numFmtId="0" fontId="0" fillId="2" borderId="7" xfId="0" applyFill="1" applyBorder="1"/>
    <xf numFmtId="0" fontId="0" fillId="2" borderId="8" xfId="0" applyFill="1" applyBorder="1" applyAlignment="1">
      <alignment horizontal="center"/>
    </xf>
    <xf numFmtId="0" fontId="0" fillId="2" borderId="9" xfId="0" applyFill="1" applyBorder="1"/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5" fillId="3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0" xfId="0" applyFill="1"/>
    <xf numFmtId="0" fontId="0" fillId="3" borderId="6" xfId="0" applyFill="1" applyBorder="1"/>
    <xf numFmtId="0" fontId="1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7" xfId="0" applyFont="1" applyFill="1" applyBorder="1"/>
    <xf numFmtId="0" fontId="1" fillId="3" borderId="8" xfId="0" applyFont="1" applyFill="1" applyBorder="1" applyAlignment="1">
      <alignment horizontal="center" wrapText="1"/>
    </xf>
    <xf numFmtId="0" fontId="0" fillId="3" borderId="7" xfId="0" applyFill="1" applyBorder="1"/>
    <xf numFmtId="0" fontId="0" fillId="3" borderId="8" xfId="0" applyFill="1" applyBorder="1" applyAlignment="1">
      <alignment horizontal="center"/>
    </xf>
    <xf numFmtId="0" fontId="0" fillId="3" borderId="9" xfId="0" applyFill="1" applyBorder="1"/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0" xfId="0" applyAlignment="1">
      <alignment horizontal="center"/>
    </xf>
    <xf numFmtId="0" fontId="6" fillId="5" borderId="2" xfId="0" applyFont="1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0" xfId="0" applyFill="1"/>
    <xf numFmtId="0" fontId="0" fillId="5" borderId="6" xfId="0" applyFill="1" applyBorder="1"/>
    <xf numFmtId="0" fontId="3" fillId="5" borderId="5" xfId="0" applyFont="1" applyFill="1" applyBorder="1" applyAlignment="1">
      <alignment horizontal="left" vertical="top" wrapText="1"/>
    </xf>
    <xf numFmtId="0" fontId="1" fillId="5" borderId="7" xfId="0" applyFont="1" applyFill="1" applyBorder="1"/>
    <xf numFmtId="0" fontId="1" fillId="5" borderId="1" xfId="0" applyFont="1" applyFill="1" applyBorder="1" applyAlignment="1">
      <alignment horizontal="center" wrapText="1"/>
    </xf>
    <xf numFmtId="0" fontId="0" fillId="5" borderId="7" xfId="0" applyFill="1" applyBorder="1"/>
    <xf numFmtId="0" fontId="0" fillId="5" borderId="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1" fillId="5" borderId="5" xfId="0" applyFont="1" applyFill="1" applyBorder="1"/>
    <xf numFmtId="0" fontId="1" fillId="5" borderId="8" xfId="0" applyFont="1" applyFill="1" applyBorder="1" applyAlignment="1">
      <alignment horizontal="center" wrapText="1"/>
    </xf>
    <xf numFmtId="0" fontId="0" fillId="5" borderId="8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1" fillId="5" borderId="9" xfId="0" applyFont="1" applyFill="1" applyBorder="1"/>
    <xf numFmtId="0" fontId="0" fillId="5" borderId="15" xfId="0" applyFill="1" applyBorder="1"/>
    <xf numFmtId="0" fontId="1" fillId="5" borderId="15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1" fillId="5" borderId="5" xfId="0" applyFont="1" applyFill="1" applyBorder="1"/>
    <xf numFmtId="0" fontId="1" fillId="5" borderId="7" xfId="0" applyFont="1" applyFill="1" applyBorder="1" applyProtection="1"/>
    <xf numFmtId="0" fontId="1" fillId="5" borderId="1" xfId="0" applyFont="1" applyFill="1" applyBorder="1" applyAlignment="1" applyProtection="1">
      <alignment horizontal="center" wrapText="1"/>
    </xf>
    <xf numFmtId="0" fontId="0" fillId="5" borderId="7" xfId="0" applyFill="1" applyBorder="1" applyProtection="1"/>
    <xf numFmtId="0" fontId="0" fillId="5" borderId="1" xfId="0" applyFill="1" applyBorder="1" applyAlignment="1" applyProtection="1">
      <alignment horizontal="center" vertical="center"/>
    </xf>
    <xf numFmtId="0" fontId="0" fillId="5" borderId="1" xfId="0" applyFill="1" applyBorder="1" applyAlignment="1" applyProtection="1">
      <alignment horizontal="center"/>
    </xf>
    <xf numFmtId="0" fontId="0" fillId="5" borderId="13" xfId="0" applyFill="1" applyBorder="1" applyProtection="1"/>
    <xf numFmtId="0" fontId="0" fillId="5" borderId="12" xfId="0" applyFill="1" applyBorder="1" applyAlignment="1" applyProtection="1">
      <alignment horizontal="center"/>
    </xf>
    <xf numFmtId="0" fontId="0" fillId="4" borderId="0" xfId="0" applyFill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F9" sqref="F9"/>
    </sheetView>
  </sheetViews>
  <sheetFormatPr defaultRowHeight="15" x14ac:dyDescent="0.25"/>
  <cols>
    <col min="1" max="1" width="50.42578125" bestFit="1" customWidth="1"/>
    <col min="2" max="2" width="15.7109375" bestFit="1" customWidth="1"/>
    <col min="3" max="3" width="13.28515625" customWidth="1"/>
    <col min="4" max="4" width="15.7109375" bestFit="1" customWidth="1"/>
    <col min="5" max="5" width="15.85546875" customWidth="1"/>
    <col min="6" max="6" width="15" customWidth="1"/>
  </cols>
  <sheetData>
    <row r="1" spans="1:4" ht="18.75" x14ac:dyDescent="0.3">
      <c r="A1" s="3" t="s">
        <v>28</v>
      </c>
      <c r="B1" s="4"/>
      <c r="C1" s="4"/>
      <c r="D1" s="5"/>
    </row>
    <row r="2" spans="1:4" ht="15" customHeight="1" x14ac:dyDescent="0.25">
      <c r="A2" s="6"/>
      <c r="B2" s="7"/>
      <c r="C2" s="7"/>
      <c r="D2" s="8"/>
    </row>
    <row r="3" spans="1:4" ht="60" x14ac:dyDescent="0.25">
      <c r="A3" s="9" t="s">
        <v>0</v>
      </c>
      <c r="B3" s="1" t="s">
        <v>1</v>
      </c>
      <c r="C3" s="1" t="s">
        <v>3</v>
      </c>
      <c r="D3" s="10" t="s">
        <v>2</v>
      </c>
    </row>
    <row r="4" spans="1:4" x14ac:dyDescent="0.25">
      <c r="A4" s="11" t="s">
        <v>4</v>
      </c>
      <c r="B4" s="2" t="s">
        <v>8</v>
      </c>
      <c r="C4" s="2" t="s">
        <v>10</v>
      </c>
      <c r="D4" s="12" t="s">
        <v>12</v>
      </c>
    </row>
    <row r="5" spans="1:4" x14ac:dyDescent="0.25">
      <c r="A5" s="11" t="s">
        <v>5</v>
      </c>
      <c r="B5" s="2" t="s">
        <v>9</v>
      </c>
      <c r="C5" s="2" t="s">
        <v>10</v>
      </c>
      <c r="D5" s="12" t="s">
        <v>12</v>
      </c>
    </row>
    <row r="6" spans="1:4" x14ac:dyDescent="0.25">
      <c r="A6" s="11" t="s">
        <v>37</v>
      </c>
      <c r="B6" s="2" t="s">
        <v>10</v>
      </c>
      <c r="C6" s="2" t="s">
        <v>10</v>
      </c>
      <c r="D6" s="12" t="s">
        <v>12</v>
      </c>
    </row>
    <row r="7" spans="1:4" x14ac:dyDescent="0.25">
      <c r="A7" s="11" t="s">
        <v>6</v>
      </c>
      <c r="B7" s="2" t="s">
        <v>10</v>
      </c>
      <c r="C7" s="2" t="s">
        <v>12</v>
      </c>
      <c r="D7" s="12" t="s">
        <v>8</v>
      </c>
    </row>
    <row r="8" spans="1:4" ht="15.75" thickBot="1" x14ac:dyDescent="0.3">
      <c r="A8" s="13" t="s">
        <v>7</v>
      </c>
      <c r="B8" s="14" t="s">
        <v>11</v>
      </c>
      <c r="C8" s="14" t="s">
        <v>13</v>
      </c>
      <c r="D8" s="15" t="s">
        <v>9</v>
      </c>
    </row>
    <row r="11" spans="1:4" ht="15.75" thickBot="1" x14ac:dyDescent="0.3"/>
    <row r="12" spans="1:4" ht="18.75" x14ac:dyDescent="0.3">
      <c r="A12" s="16" t="s">
        <v>29</v>
      </c>
      <c r="B12" s="17"/>
      <c r="C12" s="17"/>
      <c r="D12" s="18"/>
    </row>
    <row r="13" spans="1:4" x14ac:dyDescent="0.25">
      <c r="A13" s="19"/>
      <c r="B13" s="20"/>
      <c r="C13" s="20"/>
      <c r="D13" s="21"/>
    </row>
    <row r="14" spans="1:4" ht="60" x14ac:dyDescent="0.25">
      <c r="A14" s="24" t="s">
        <v>0</v>
      </c>
      <c r="B14" s="22" t="s">
        <v>1</v>
      </c>
      <c r="C14" s="22" t="s">
        <v>3</v>
      </c>
      <c r="D14" s="25" t="s">
        <v>2</v>
      </c>
    </row>
    <row r="15" spans="1:4" x14ac:dyDescent="0.25">
      <c r="A15" s="26" t="s">
        <v>4</v>
      </c>
      <c r="B15" s="23" t="s">
        <v>14</v>
      </c>
      <c r="C15" s="23" t="s">
        <v>15</v>
      </c>
      <c r="D15" s="27" t="s">
        <v>14</v>
      </c>
    </row>
    <row r="16" spans="1:4" x14ac:dyDescent="0.25">
      <c r="A16" s="26" t="s">
        <v>5</v>
      </c>
      <c r="B16" s="23" t="s">
        <v>15</v>
      </c>
      <c r="C16" s="23" t="s">
        <v>15</v>
      </c>
      <c r="D16" s="27" t="s">
        <v>14</v>
      </c>
    </row>
    <row r="17" spans="1:6" x14ac:dyDescent="0.25">
      <c r="A17" s="26" t="s">
        <v>37</v>
      </c>
      <c r="B17" s="23" t="s">
        <v>16</v>
      </c>
      <c r="C17" s="23" t="s">
        <v>15</v>
      </c>
      <c r="D17" s="27" t="s">
        <v>14</v>
      </c>
    </row>
    <row r="18" spans="1:6" x14ac:dyDescent="0.25">
      <c r="A18" s="26" t="s">
        <v>6</v>
      </c>
      <c r="B18" s="23" t="s">
        <v>16</v>
      </c>
      <c r="C18" s="23" t="s">
        <v>14</v>
      </c>
      <c r="D18" s="27" t="s">
        <v>18</v>
      </c>
    </row>
    <row r="19" spans="1:6" ht="15.75" thickBot="1" x14ac:dyDescent="0.3">
      <c r="A19" s="28" t="s">
        <v>7</v>
      </c>
      <c r="B19" s="29" t="s">
        <v>17</v>
      </c>
      <c r="C19" s="29" t="s">
        <v>17</v>
      </c>
      <c r="D19" s="30" t="s">
        <v>19</v>
      </c>
    </row>
    <row r="20" spans="1:6" x14ac:dyDescent="0.25">
      <c r="B20" s="31"/>
      <c r="C20" s="31"/>
      <c r="D20" s="31"/>
    </row>
    <row r="21" spans="1:6" ht="15.75" thickBot="1" x14ac:dyDescent="0.3"/>
    <row r="22" spans="1:6" ht="18.75" x14ac:dyDescent="0.3">
      <c r="A22" s="32" t="s">
        <v>30</v>
      </c>
      <c r="B22" s="33"/>
      <c r="C22" s="33"/>
      <c r="D22" s="33"/>
      <c r="E22" s="33"/>
      <c r="F22" s="34"/>
    </row>
    <row r="23" spans="1:6" x14ac:dyDescent="0.25">
      <c r="A23" s="35"/>
      <c r="B23" s="36"/>
      <c r="C23" s="36"/>
      <c r="D23" s="36"/>
      <c r="E23" s="36"/>
      <c r="F23" s="37"/>
    </row>
    <row r="24" spans="1:6" ht="82.15" customHeight="1" x14ac:dyDescent="0.25">
      <c r="A24" s="38" t="s">
        <v>36</v>
      </c>
      <c r="B24" s="36"/>
      <c r="C24" s="36"/>
      <c r="D24" s="36"/>
      <c r="E24" s="36"/>
      <c r="F24" s="37"/>
    </row>
    <row r="25" spans="1:6" x14ac:dyDescent="0.25">
      <c r="A25" s="35"/>
      <c r="B25" s="36"/>
      <c r="C25" s="36"/>
      <c r="D25" s="36"/>
      <c r="E25" s="36"/>
      <c r="F25" s="37"/>
    </row>
    <row r="26" spans="1:6" ht="60" x14ac:dyDescent="0.25">
      <c r="A26" s="54" t="s">
        <v>0</v>
      </c>
      <c r="B26" s="55" t="s">
        <v>20</v>
      </c>
      <c r="C26" s="55" t="s">
        <v>3</v>
      </c>
      <c r="D26" s="55" t="s">
        <v>2</v>
      </c>
      <c r="E26" s="36"/>
      <c r="F26" s="37"/>
    </row>
    <row r="27" spans="1:6" x14ac:dyDescent="0.25">
      <c r="A27" s="56" t="s">
        <v>4</v>
      </c>
      <c r="B27" s="57">
        <v>2</v>
      </c>
      <c r="C27" s="58">
        <v>4</v>
      </c>
      <c r="D27" s="58">
        <v>2</v>
      </c>
      <c r="E27" s="36"/>
      <c r="F27" s="37"/>
    </row>
    <row r="28" spans="1:6" x14ac:dyDescent="0.25">
      <c r="A28" s="56" t="s">
        <v>5</v>
      </c>
      <c r="B28" s="58">
        <v>4</v>
      </c>
      <c r="C28" s="58">
        <v>4</v>
      </c>
      <c r="D28" s="58">
        <v>2</v>
      </c>
      <c r="E28" s="36"/>
      <c r="F28" s="37"/>
    </row>
    <row r="29" spans="1:6" x14ac:dyDescent="0.25">
      <c r="A29" s="56" t="s">
        <v>37</v>
      </c>
      <c r="B29" s="58">
        <v>5</v>
      </c>
      <c r="C29" s="58">
        <v>4</v>
      </c>
      <c r="D29" s="58">
        <v>2</v>
      </c>
      <c r="E29" s="36"/>
      <c r="F29" s="37"/>
    </row>
    <row r="30" spans="1:6" x14ac:dyDescent="0.25">
      <c r="A30" s="56" t="s">
        <v>6</v>
      </c>
      <c r="B30" s="58">
        <v>5</v>
      </c>
      <c r="C30" s="58">
        <v>2</v>
      </c>
      <c r="D30" s="58">
        <v>1</v>
      </c>
      <c r="E30" s="36"/>
      <c r="F30" s="37"/>
    </row>
    <row r="31" spans="1:6" ht="15.75" thickBot="1" x14ac:dyDescent="0.3">
      <c r="A31" s="59" t="s">
        <v>7</v>
      </c>
      <c r="B31" s="60">
        <v>6</v>
      </c>
      <c r="C31" s="60">
        <v>6</v>
      </c>
      <c r="D31" s="60">
        <v>3</v>
      </c>
      <c r="E31" s="36"/>
      <c r="F31" s="37"/>
    </row>
    <row r="32" spans="1:6" ht="15.75" thickTop="1" x14ac:dyDescent="0.25">
      <c r="A32" s="35"/>
      <c r="B32" s="44"/>
      <c r="C32" s="44"/>
      <c r="D32" s="44"/>
      <c r="E32" s="36"/>
      <c r="F32" s="37"/>
    </row>
    <row r="33" spans="1:6" ht="15.75" x14ac:dyDescent="0.25">
      <c r="A33" s="53" t="s">
        <v>38</v>
      </c>
      <c r="B33" s="44"/>
      <c r="C33" s="44"/>
      <c r="D33" s="44"/>
      <c r="E33" s="36"/>
      <c r="F33" s="37"/>
    </row>
    <row r="34" spans="1:6" x14ac:dyDescent="0.25">
      <c r="A34" s="45" t="s">
        <v>21</v>
      </c>
      <c r="B34" s="44">
        <f>B35+B36</f>
        <v>12</v>
      </c>
      <c r="C34" s="36"/>
      <c r="D34" s="36"/>
      <c r="E34" s="36"/>
      <c r="F34" s="37"/>
    </row>
    <row r="35" spans="1:6" x14ac:dyDescent="0.25">
      <c r="A35" s="45" t="s">
        <v>22</v>
      </c>
      <c r="B35" s="61">
        <v>6</v>
      </c>
      <c r="C35" s="36"/>
      <c r="D35" s="36"/>
      <c r="E35" s="36"/>
      <c r="F35" s="37"/>
    </row>
    <row r="36" spans="1:6" x14ac:dyDescent="0.25">
      <c r="A36" s="45" t="s">
        <v>35</v>
      </c>
      <c r="B36" s="61">
        <v>6</v>
      </c>
      <c r="C36" s="36"/>
      <c r="D36" s="36"/>
      <c r="E36" s="36"/>
      <c r="F36" s="37"/>
    </row>
    <row r="37" spans="1:6" x14ac:dyDescent="0.25">
      <c r="A37" s="45"/>
      <c r="B37" s="44"/>
      <c r="C37" s="36"/>
      <c r="D37" s="36"/>
      <c r="E37" s="36"/>
      <c r="F37" s="37"/>
    </row>
    <row r="38" spans="1:6" ht="60" x14ac:dyDescent="0.25">
      <c r="A38" s="39" t="s">
        <v>32</v>
      </c>
      <c r="B38" s="40" t="s">
        <v>23</v>
      </c>
      <c r="C38" s="40" t="s">
        <v>24</v>
      </c>
      <c r="D38" s="40" t="s">
        <v>26</v>
      </c>
      <c r="E38" s="40" t="s">
        <v>25</v>
      </c>
      <c r="F38" s="46" t="s">
        <v>27</v>
      </c>
    </row>
    <row r="39" spans="1:6" x14ac:dyDescent="0.25">
      <c r="A39" s="41" t="s">
        <v>33</v>
      </c>
      <c r="B39" s="42">
        <v>15</v>
      </c>
      <c r="C39" s="62">
        <v>10</v>
      </c>
      <c r="D39" s="42">
        <f>(C39/$B$34)*$B$35</f>
        <v>5</v>
      </c>
      <c r="E39" s="42">
        <f>C39-D39</f>
        <v>5</v>
      </c>
      <c r="F39" s="47">
        <f>E39*B39*3</f>
        <v>225</v>
      </c>
    </row>
    <row r="40" spans="1:6" ht="15.75" thickBot="1" x14ac:dyDescent="0.3">
      <c r="A40" s="41" t="s">
        <v>34</v>
      </c>
      <c r="B40" s="43">
        <v>12</v>
      </c>
      <c r="C40" s="63">
        <v>2</v>
      </c>
      <c r="D40" s="43">
        <f>(C40/$B$34)*$B$35</f>
        <v>1</v>
      </c>
      <c r="E40" s="43">
        <f t="shared" ref="E40:E41" si="0">C40-D40</f>
        <v>1</v>
      </c>
      <c r="F40" s="48">
        <f>E40*B40*3</f>
        <v>36</v>
      </c>
    </row>
    <row r="41" spans="1:6" ht="16.5" thickTop="1" thickBot="1" x14ac:dyDescent="0.3">
      <c r="A41" s="49" t="s">
        <v>31</v>
      </c>
      <c r="B41" s="50"/>
      <c r="C41" s="51">
        <f>SUM(C39:C40)</f>
        <v>12</v>
      </c>
      <c r="D41" s="51">
        <f>SUM(D39:D40)</f>
        <v>6</v>
      </c>
      <c r="E41" s="51">
        <f t="shared" si="0"/>
        <v>6</v>
      </c>
      <c r="F41" s="52">
        <f>SUM(F39:F40)</f>
        <v>261</v>
      </c>
    </row>
  </sheetData>
  <sheetProtection algorithmName="SHA-512" hashValue="N+lb1U1uy8Pf7POK/6feFbaxP/EGNqsraOZS92Qj2ZNC0h86xkDkxxNAyZs/Wj3x5Pnp26eIK8Gs/o4B4+u4aw==" saltValue="gwJDjj9uF4Zx/jZmeVe9bg==" spinCount="100000" sheet="1" objects="1" scenarios="1"/>
  <pageMargins left="0.7" right="0.7" top="0.75" bottom="0.75" header="0.3" footer="0.3"/>
  <pageSetup paperSize="9" orientation="landscape" r:id="rId1"/>
  <rowBreaks count="1" manualBreakCount="1">
    <brk id="2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Pratima</cp:lastModifiedBy>
  <cp:lastPrinted>2024-07-28T14:30:39Z</cp:lastPrinted>
  <dcterms:created xsi:type="dcterms:W3CDTF">2024-07-28T13:42:40Z</dcterms:created>
  <dcterms:modified xsi:type="dcterms:W3CDTF">2025-04-16T08:57:03Z</dcterms:modified>
</cp:coreProperties>
</file>